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onthly Costs" sheetId="2" state="visible" r:id="rId2"/>
    <sheet name="One-Time Costs" sheetId="3" state="visible" r:id="rId3"/>
    <sheet name="Accounts &amp; Access" sheetId="4" state="visible" r:id="rId4"/>
    <sheet name="Phase Rollout" sheetId="5" state="visible" r:id="rId5"/>
    <sheet name="Break-Even" sheetId="6" state="visible" r:id="rId6"/>
    <sheet name="Deferred Co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.00"/>
    <numFmt numFmtId="165" formatCode="0 &quot;customers&quot;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i val="1"/>
      <color rgb="00B0C4DE"/>
      <sz val="10"/>
    </font>
    <font>
      <b val="1"/>
      <color rgb="001E3A5F"/>
      <sz val="10"/>
    </font>
    <font>
      <b val="1"/>
      <color rgb="001E3A5F"/>
      <sz val="16"/>
    </font>
    <font>
      <b val="1"/>
      <color rgb="001E3A5F"/>
      <sz val="12"/>
    </font>
    <font>
      <b val="1"/>
      <color rgb="00FFFFFF"/>
      <sz val="11"/>
    </font>
    <font>
      <color rgb="00000000"/>
      <sz val="10"/>
    </font>
    <font>
      <b val="1"/>
      <color rgb="00FFFFFF"/>
      <sz val="14"/>
    </font>
    <font>
      <b val="1"/>
      <color rgb="001E3A5F"/>
      <sz val="11"/>
    </font>
    <font>
      <color rgb="00000000"/>
      <sz val="11"/>
    </font>
    <font>
      <b val="1"/>
      <color rgb="00F59E0B"/>
      <sz val="12"/>
    </font>
    <font>
      <b val="1"/>
      <color rgb="0016A34A"/>
      <sz val="10"/>
    </font>
    <font>
      <b val="1"/>
      <color rgb="00F59E0B"/>
      <sz val="10"/>
    </font>
    <font>
      <b val="1"/>
      <color rgb="002563EB"/>
      <sz val="10"/>
    </font>
    <font>
      <b val="1"/>
      <color rgb="006B7280"/>
      <sz val="10"/>
    </font>
    <font>
      <b val="1"/>
      <color rgb="00DC2626"/>
      <sz val="10"/>
    </font>
    <font>
      <b val="1"/>
      <color rgb="0016A34A"/>
      <sz val="13"/>
    </font>
    <font>
      <b val="1"/>
      <color rgb="00F59E0B"/>
      <sz val="13"/>
    </font>
    <font>
      <color rgb="00DC2626"/>
      <sz val="11"/>
    </font>
    <font>
      <b val="1"/>
      <color rgb="00000000"/>
      <sz val="11"/>
    </font>
    <font>
      <b val="1"/>
      <color rgb="0016A34A"/>
      <sz val="11"/>
    </font>
    <font>
      <i val="1"/>
      <color rgb="006B7280"/>
      <sz val="10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FEF2F2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164" fontId="4" fillId="3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2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164" fontId="9" fillId="4" borderId="1" applyAlignment="1" pivotButton="0" quotePrefix="0" xfId="0">
      <alignment horizontal="right" vertical="center"/>
    </xf>
    <xf numFmtId="164" fontId="10" fillId="4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6" fillId="2" borderId="1" pivotButton="0" quotePrefix="0" xfId="0"/>
    <xf numFmtId="0" fontId="0" fillId="2" borderId="1" pivotButton="0" quotePrefix="0" xfId="0"/>
    <xf numFmtId="164" fontId="11" fillId="2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left" vertical="center"/>
    </xf>
    <xf numFmtId="164" fontId="9" fillId="3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right" vertical="center"/>
    </xf>
    <xf numFmtId="0" fontId="13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0" fontId="16" fillId="5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/>
    </xf>
    <xf numFmtId="0" fontId="9" fillId="0" borderId="0" pivotButton="0" quotePrefix="0" xfId="0"/>
    <xf numFmtId="165" fontId="17" fillId="6" borderId="1" applyAlignment="1" pivotButton="0" quotePrefix="0" xfId="0">
      <alignment horizontal="right" vertical="center"/>
    </xf>
    <xf numFmtId="165" fontId="18" fillId="3" borderId="1" applyAlignment="1" pivotButton="0" quotePrefix="0" xfId="0">
      <alignment horizontal="right" vertical="center"/>
    </xf>
    <xf numFmtId="0" fontId="10" fillId="0" borderId="0" pivotButton="0" quotePrefix="0" xfId="0"/>
    <xf numFmtId="164" fontId="10" fillId="5" borderId="1" applyAlignment="1" pivotButton="0" quotePrefix="0" xfId="0">
      <alignment horizontal="right" vertical="center"/>
    </xf>
    <xf numFmtId="164" fontId="19" fillId="5" borderId="1" applyAlignment="1" pivotButton="0" quotePrefix="0" xfId="0">
      <alignment horizontal="right" vertical="center"/>
    </xf>
    <xf numFmtId="0" fontId="20" fillId="0" borderId="0" pivotButton="0" quotePrefix="0" xfId="0"/>
    <xf numFmtId="164" fontId="10" fillId="6" borderId="1" applyAlignment="1" pivotButton="0" quotePrefix="0" xfId="0">
      <alignment horizontal="right" vertical="center"/>
    </xf>
    <xf numFmtId="164" fontId="21" fillId="6" borderId="1" applyAlignment="1" pivotButton="0" quotePrefix="0" xfId="0">
      <alignment horizontal="right" vertical="center"/>
    </xf>
    <xf numFmtId="0" fontId="22" fillId="6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44" customWidth="1" min="3" max="3"/>
    <col width="20" customWidth="1" min="4" max="4"/>
    <col width="22" customWidth="1" min="5" max="5"/>
    <col width="22" customWidth="1" min="6" max="6"/>
    <col width="14" customWidth="1" min="7" max="7"/>
  </cols>
  <sheetData>
    <row r="1" ht="40" customHeight="1">
      <c r="A1" s="1" t="inlineStr">
        <is>
          <t>SyndicSage V5 — Cost &amp; Systems Overview</t>
        </is>
      </c>
    </row>
    <row r="2" ht="20" customHeight="1">
      <c r="A2" s="2" t="inlineStr">
        <is>
          <t>All amounts in EUR · Updated 2026-05-27</t>
        </is>
      </c>
    </row>
    <row r="3" ht="12" customHeight="1"/>
    <row r="4">
      <c r="A4" s="3" t="inlineStr">
        <is>
          <t>One-Time Setup</t>
        </is>
      </c>
      <c r="B4" s="4" t="inlineStr">
        <is>
          <t>Monthly (MVP)</t>
        </is>
      </c>
      <c r="C4" s="4" t="inlineStr">
        <is>
          <t>Annual (MVP)</t>
        </is>
      </c>
      <c r="E4" s="5" t="inlineStr">
        <is>
          <t>Monthly at Scale</t>
        </is>
      </c>
      <c r="F4" s="6" t="inlineStr">
        <is>
          <t>Break-Even (€49/mo plan)</t>
        </is>
      </c>
    </row>
    <row r="5">
      <c r="A5" s="7" t="n"/>
      <c r="B5" s="8" t="n"/>
      <c r="C5" s="8" t="n"/>
      <c r="E5" s="9" t="n"/>
      <c r="F5" s="10" t="n"/>
    </row>
    <row r="6" ht="32" customHeight="1">
      <c r="A6" s="11">
        <f>'One-Time Costs'!B2</f>
        <v/>
      </c>
      <c r="B6" s="12">
        <f>'Monthly Costs'!C2</f>
        <v/>
      </c>
      <c r="C6" s="12">
        <f>'Monthly Costs'!C3</f>
        <v/>
      </c>
      <c r="E6" s="13">
        <f>'Monthly Costs'!C4</f>
        <v/>
      </c>
      <c r="F6" s="14">
        <f>'Break-Even'!B4</f>
        <v/>
      </c>
    </row>
    <row r="7">
      <c r="A7" s="7" t="n"/>
      <c r="B7" s="8" t="n"/>
      <c r="C7" s="8" t="n"/>
      <c r="E7" s="9" t="n"/>
      <c r="F7" s="10" t="n"/>
    </row>
    <row r="8" ht="16" customHeight="1">
      <c r="A8" s="7" t="n"/>
      <c r="B8" s="8" t="n"/>
      <c r="C8" s="8" t="n"/>
      <c r="E8" s="9" t="n"/>
      <c r="F8" s="10" t="n"/>
    </row>
    <row r="9" ht="22" customHeight="1">
      <c r="A9" s="15" t="inlineStr">
        <is>
          <t>Phase Cost Milestones</t>
        </is>
      </c>
    </row>
    <row r="10">
      <c r="A10" s="16" t="inlineStr">
        <is>
          <t>Phase</t>
        </is>
      </c>
      <c r="B10" s="16" t="inlineStr">
        <is>
          <t>Name</t>
        </is>
      </c>
      <c r="C10" s="16" t="inlineStr">
        <is>
          <t>New Services Added</t>
        </is>
      </c>
      <c r="D10" s="16" t="inlineStr">
        <is>
          <t>Extra Monthly Cost</t>
        </is>
      </c>
      <c r="E10" s="16" t="inlineStr">
        <is>
          <t>Cumulative Monthly</t>
        </is>
      </c>
    </row>
    <row r="11" ht="22" customHeight="1">
      <c r="A11" s="17" t="inlineStr">
        <is>
          <t>Phase 0-1</t>
        </is>
      </c>
      <c r="B11" s="17" t="inlineStr">
        <is>
          <t>Foundation + Shell</t>
        </is>
      </c>
      <c r="C11" s="17" t="inlineStr">
        <is>
          <t>Supabase Pro, Railway, Vercel, GitHub Private</t>
        </is>
      </c>
      <c r="D11" s="17" t="inlineStr">
        <is>
          <t>€61</t>
        </is>
      </c>
      <c r="E11" s="17" t="inlineStr">
        <is>
          <t>€61</t>
        </is>
      </c>
    </row>
    <row r="12" ht="22" customHeight="1">
      <c r="A12" s="18" t="inlineStr">
        <is>
          <t>Phase 2</t>
        </is>
      </c>
      <c r="B12" s="18" t="inlineStr">
        <is>
          <t>Core Data</t>
        </is>
      </c>
      <c r="C12" s="18" t="inlineStr">
        <is>
          <t>Google Workspace (already set up)</t>
        </is>
      </c>
      <c r="D12" s="18" t="inlineStr">
        <is>
          <t>€0</t>
        </is>
      </c>
      <c r="E12" s="18" t="inlineStr">
        <is>
          <t>€61</t>
        </is>
      </c>
    </row>
    <row r="13" ht="22" customHeight="1">
      <c r="A13" s="17" t="inlineStr">
        <is>
          <t>Phase 3</t>
        </is>
      </c>
      <c r="B13" s="17" t="inlineStr">
        <is>
          <t>Communication</t>
        </is>
      </c>
      <c r="C13" s="17" t="inlineStr">
        <is>
          <t>Resend (free tier), Sentry (free tier)</t>
        </is>
      </c>
      <c r="D13" s="17" t="inlineStr">
        <is>
          <t>€0</t>
        </is>
      </c>
      <c r="E13" s="17" t="inlineStr">
        <is>
          <t>€61</t>
        </is>
      </c>
    </row>
    <row r="14" ht="22" customHeight="1">
      <c r="A14" s="18" t="inlineStr">
        <is>
          <t>Phase 4</t>
        </is>
      </c>
      <c r="B14" s="18" t="inlineStr">
        <is>
          <t>Intelligence</t>
        </is>
      </c>
      <c r="C14" s="18" t="inlineStr">
        <is>
          <t>Anthropic API (usage-based), Upstash Redis</t>
        </is>
      </c>
      <c r="D14" s="18" t="inlineStr">
        <is>
          <t>€30</t>
        </is>
      </c>
      <c r="E14" s="18" t="inlineStr">
        <is>
          <t>€91</t>
        </is>
      </c>
    </row>
    <row r="15" ht="22" customHeight="1">
      <c r="A15" s="17" t="inlineStr">
        <is>
          <t>Phase 5</t>
        </is>
      </c>
      <c r="B15" s="17" t="inlineStr">
        <is>
          <t>Governance</t>
        </is>
      </c>
      <c r="C15" s="17" t="inlineStr">
        <is>
          <t>No new services</t>
        </is>
      </c>
      <c r="D15" s="17" t="inlineStr">
        <is>
          <t>€0</t>
        </is>
      </c>
      <c r="E15" s="17" t="inlineStr">
        <is>
          <t>€91</t>
        </is>
      </c>
    </row>
    <row r="16" ht="22" customHeight="1">
      <c r="A16" s="18" t="inlineStr">
        <is>
          <t>Phase 6</t>
        </is>
      </c>
      <c r="B16" s="18" t="inlineStr">
        <is>
          <t>Portal</t>
        </is>
      </c>
      <c r="C16" s="18" t="inlineStr">
        <is>
          <t>Resend scaling (more emails)</t>
        </is>
      </c>
      <c r="D16" s="18" t="inlineStr">
        <is>
          <t>€20</t>
        </is>
      </c>
      <c r="E16" s="18" t="inlineStr">
        <is>
          <t>€111</t>
        </is>
      </c>
    </row>
    <row r="17" ht="22" customHeight="1">
      <c r="A17" s="17" t="inlineStr">
        <is>
          <t>Phase 7</t>
        </is>
      </c>
      <c r="B17" s="17" t="inlineStr">
        <is>
          <t>Mobile</t>
        </is>
      </c>
      <c r="C17" s="17" t="inlineStr">
        <is>
          <t>Apple Developer ($99/yr), Expo EAS Build</t>
        </is>
      </c>
      <c r="D17" s="17" t="inlineStr">
        <is>
          <t>€18</t>
        </is>
      </c>
      <c r="E17" s="17" t="inlineStr">
        <is>
          <t>€129</t>
        </is>
      </c>
    </row>
    <row r="18" ht="22" customHeight="1">
      <c r="A18" s="18" t="inlineStr">
        <is>
          <t>Phase 8</t>
        </is>
      </c>
      <c r="B18" s="18" t="inlineStr">
        <is>
          <t>Launch</t>
        </is>
      </c>
      <c r="C18" s="18" t="inlineStr">
        <is>
          <t>Vercel Pro (custom domain + bandwidth), DPA sign-offs</t>
        </is>
      </c>
      <c r="D18" s="18" t="inlineStr">
        <is>
          <t>€20</t>
        </is>
      </c>
      <c r="E18" s="18" t="inlineStr">
        <is>
          <t>€149</t>
        </is>
      </c>
    </row>
  </sheetData>
  <mergeCells count="17">
    <mergeCell ref="A6"/>
    <mergeCell ref="B4"/>
    <mergeCell ref="A1:G1"/>
    <mergeCell ref="C4"/>
    <mergeCell ref="A4"/>
    <mergeCell ref="F4"/>
    <mergeCell ref="E4"/>
    <mergeCell ref="B6"/>
    <mergeCell ref="E6"/>
    <mergeCell ref="A2:G2"/>
    <mergeCell ref="C6"/>
    <mergeCell ref="B5"/>
    <mergeCell ref="F6"/>
    <mergeCell ref="F5"/>
    <mergeCell ref="C5"/>
    <mergeCell ref="A5"/>
    <mergeCell ref="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6" customWidth="1" min="3" max="3"/>
    <col width="14" customWidth="1" min="4" max="4"/>
    <col width="12" customWidth="1" min="5" max="5"/>
    <col width="14" customWidth="1" min="6" max="6"/>
    <col width="54" customWidth="1" min="7" max="7"/>
  </cols>
  <sheetData>
    <row r="1" ht="32" customHeight="1">
      <c r="A1" s="19" t="inlineStr">
        <is>
          <t>Monthly Recurring Costs</t>
        </is>
      </c>
    </row>
    <row r="2" ht="22" customHeight="1">
      <c r="A2" s="20" t="inlineStr">
        <is>
          <t>Total Monthly (MVP — Phase 0-3)</t>
        </is>
      </c>
      <c r="B2" s="21">
        <f>SUMIF(E5:E100,"MVP",D5:D100)</f>
        <v/>
      </c>
      <c r="C2" s="22" t="n"/>
    </row>
    <row r="3" ht="22" customHeight="1">
      <c r="A3" s="20" t="inlineStr">
        <is>
          <t>Total Monthly (Full — all phases)</t>
        </is>
      </c>
      <c r="B3" s="21">
        <f>SUM(D5:D100)</f>
        <v/>
      </c>
      <c r="C3" s="22" t="n"/>
    </row>
    <row r="4" ht="12" customHeight="1">
      <c r="A4" s="20" t="inlineStr">
        <is>
          <t>Total Monthly at Scale (estimate)</t>
        </is>
      </c>
      <c r="B4" s="21">
        <f>SUMIF(E5:E100,"Scale",D5:D100)+SUMIF(E5:E100,"MVP",D5:D100)</f>
        <v/>
      </c>
      <c r="C4" s="22" t="n"/>
    </row>
    <row r="5">
      <c r="A5" s="16" t="inlineStr">
        <is>
          <t>Service</t>
        </is>
      </c>
      <c r="B5" s="16" t="inlineStr">
        <is>
          <t>Category</t>
        </is>
      </c>
      <c r="C5" s="16" t="inlineStr">
        <is>
          <t>Plan / Tier</t>
        </is>
      </c>
      <c r="D5" s="16" t="inlineStr">
        <is>
          <t>EUR / Month</t>
        </is>
      </c>
      <c r="E5" s="16" t="inlineStr">
        <is>
          <t>Phase</t>
        </is>
      </c>
      <c r="F5" s="16" t="inlineStr">
        <is>
          <t>Status</t>
        </is>
      </c>
      <c r="G5" s="16" t="inlineStr">
        <is>
          <t>Notes</t>
        </is>
      </c>
    </row>
    <row r="6" ht="36" customHeight="1">
      <c r="A6" s="17" t="inlineStr">
        <is>
          <t>Supabase</t>
        </is>
      </c>
      <c r="B6" s="17" t="inlineStr">
        <is>
          <t>Infrastructure</t>
        </is>
      </c>
      <c r="C6" s="17" t="inlineStr">
        <is>
          <t>Pro (EU region)</t>
        </is>
      </c>
      <c r="D6" s="23" t="n">
        <v>25</v>
      </c>
      <c r="E6" s="17" t="inlineStr">
        <is>
          <t>MVP</t>
        </is>
      </c>
      <c r="F6" s="17" t="inlineStr">
        <is>
          <t>Required</t>
        </is>
      </c>
      <c r="G6" s="17" t="inlineStr">
        <is>
          <t>PostgreSQL + Auth + Storage + Realtime. EU region mandatory for GDPR. Daily backups.</t>
        </is>
      </c>
    </row>
    <row r="7" ht="36" customHeight="1">
      <c r="A7" s="18" t="inlineStr">
        <is>
          <t>Railway — API</t>
        </is>
      </c>
      <c r="B7" s="18" t="inlineStr">
        <is>
          <t>Infrastructure</t>
        </is>
      </c>
      <c r="C7" s="18" t="inlineStr">
        <is>
          <t>Starter + usage</t>
        </is>
      </c>
      <c r="D7" s="24" t="n">
        <v>8</v>
      </c>
      <c r="E7" s="18" t="inlineStr">
        <is>
          <t>MVP</t>
        </is>
      </c>
      <c r="F7" s="18" t="inlineStr">
        <is>
          <t>Required</t>
        </is>
      </c>
      <c r="G7" s="18" t="inlineStr">
        <is>
          <t>Hono API server. ~€8/mo for small workloads. Scales with usage.</t>
        </is>
      </c>
    </row>
    <row r="8" ht="36" customHeight="1">
      <c r="A8" s="17" t="inlineStr">
        <is>
          <t>Railway — Worker</t>
        </is>
      </c>
      <c r="B8" s="17" t="inlineStr">
        <is>
          <t>Infrastructure</t>
        </is>
      </c>
      <c r="C8" s="17" t="inlineStr">
        <is>
          <t>Starter + usage</t>
        </is>
      </c>
      <c r="D8" s="23" t="n">
        <v>7</v>
      </c>
      <c r="E8" s="17" t="inlineStr">
        <is>
          <t>MVP</t>
        </is>
      </c>
      <c r="F8" s="17" t="inlineStr">
        <is>
          <t>Required</t>
        </is>
      </c>
      <c r="G8" s="17" t="inlineStr">
        <is>
          <t>BullMQ worker (email, scan, PDF, AI jobs). Separate service from API.</t>
        </is>
      </c>
    </row>
    <row r="9" ht="36" customHeight="1">
      <c r="A9" s="18" t="inlineStr">
        <is>
          <t>Vercel</t>
        </is>
      </c>
      <c r="B9" s="18" t="inlineStr">
        <is>
          <t>Infrastructure</t>
        </is>
      </c>
      <c r="C9" s="18" t="inlineStr">
        <is>
          <t>Hobby (free → Pro at launch)</t>
        </is>
      </c>
      <c r="D9" s="24" t="n">
        <v>0</v>
      </c>
      <c r="E9" s="18" t="inlineStr">
        <is>
          <t>MVP</t>
        </is>
      </c>
      <c r="F9" s="18" t="inlineStr">
        <is>
          <t>Free now</t>
        </is>
      </c>
      <c r="G9" s="18" t="inlineStr">
        <is>
          <t>Hobby supports custom domains. Upgrade to Pro (€20/mo) at launch for bandwidth + team.</t>
        </is>
      </c>
    </row>
    <row r="10" ht="36" customHeight="1">
      <c r="A10" s="17" t="inlineStr">
        <is>
          <t>GitHub</t>
        </is>
      </c>
      <c r="B10" s="17" t="inlineStr">
        <is>
          <t>Development</t>
        </is>
      </c>
      <c r="C10" s="17" t="inlineStr">
        <is>
          <t>Free → Team (private repo)</t>
        </is>
      </c>
      <c r="D10" s="23" t="n">
        <v>0</v>
      </c>
      <c r="E10" s="17" t="inlineStr">
        <is>
          <t>MVP</t>
        </is>
      </c>
      <c r="F10" s="17" t="inlineStr">
        <is>
          <t>Free now</t>
        </is>
      </c>
      <c r="G10" s="17" t="inlineStr">
        <is>
          <t>Switch to private before launch. Team plan: $4/user/mo. Solo: free with GitHub Pro ($4/mo).</t>
        </is>
      </c>
    </row>
    <row r="11" ht="36" customHeight="1">
      <c r="A11" s="18" t="inlineStr">
        <is>
          <t>Google Workspace</t>
        </is>
      </c>
      <c r="B11" s="18" t="inlineStr">
        <is>
          <t>Communication</t>
        </is>
      </c>
      <c r="C11" s="18" t="inlineStr">
        <is>
          <t>Business Starter</t>
        </is>
      </c>
      <c r="D11" s="24" t="n">
        <v>6</v>
      </c>
      <c r="E11" s="18" t="inlineStr">
        <is>
          <t>MVP</t>
        </is>
      </c>
      <c r="F11" s="18" t="inlineStr">
        <is>
          <t>Active</t>
        </is>
      </c>
      <c r="G11" s="18" t="inlineStr">
        <is>
          <t>hello@syndicsage.com already set up. MX records propagated 2026-05-24.</t>
        </is>
      </c>
    </row>
    <row r="12" ht="36" customHeight="1">
      <c r="A12" s="17" t="inlineStr">
        <is>
          <t>Upstash Redis</t>
        </is>
      </c>
      <c r="B12" s="17" t="inlineStr">
        <is>
          <t>Infrastructure</t>
        </is>
      </c>
      <c r="C12" s="17" t="inlineStr">
        <is>
          <t>Free tier → Pay-as-you-go</t>
        </is>
      </c>
      <c r="D12" s="23" t="n">
        <v>0</v>
      </c>
      <c r="E12" s="17" t="inlineStr">
        <is>
          <t>MVP</t>
        </is>
      </c>
      <c r="F12" s="17" t="inlineStr">
        <is>
          <t>Free now</t>
        </is>
      </c>
      <c r="G12" s="17" t="inlineStr">
        <is>
          <t>Rate limiting + BullMQ queue. Free: 10k commands/day. ~€5/mo at scale.</t>
        </is>
      </c>
    </row>
    <row r="13" ht="36" customHeight="1">
      <c r="A13" s="18" t="inlineStr">
        <is>
          <t>Resend</t>
        </is>
      </c>
      <c r="B13" s="18" t="inlineStr">
        <is>
          <t>Communication</t>
        </is>
      </c>
      <c r="C13" s="18" t="inlineStr">
        <is>
          <t>Free (3,000 emails/mo)</t>
        </is>
      </c>
      <c r="D13" s="24" t="n">
        <v>0</v>
      </c>
      <c r="E13" s="18" t="inlineStr">
        <is>
          <t>MVP</t>
        </is>
      </c>
      <c r="F13" s="18" t="inlineStr">
        <is>
          <t>Free now</t>
        </is>
      </c>
      <c r="G13" s="18" t="inlineStr">
        <is>
          <t>Transactional email. Free tier sufficient until Portal launch. Scale plan: €20/mo for 50k.</t>
        </is>
      </c>
    </row>
    <row r="14" ht="36" customHeight="1">
      <c r="A14" s="17" t="inlineStr">
        <is>
          <t>Sentry</t>
        </is>
      </c>
      <c r="B14" s="17" t="inlineStr">
        <is>
          <t>Monitoring</t>
        </is>
      </c>
      <c r="C14" s="17" t="inlineStr">
        <is>
          <t>Free (Developer)</t>
        </is>
      </c>
      <c r="D14" s="23" t="n">
        <v>0</v>
      </c>
      <c r="E14" s="17" t="inlineStr">
        <is>
          <t>MVP</t>
        </is>
      </c>
      <c r="F14" s="17" t="inlineStr">
        <is>
          <t>Free now</t>
        </is>
      </c>
      <c r="G14" s="17" t="inlineStr">
        <is>
          <t>Error tracking + performance. Free tier: 5k errors/mo. Team: $26/mo when needed.</t>
        </is>
      </c>
    </row>
    <row r="15" ht="36" customHeight="1">
      <c r="A15" s="18" t="inlineStr">
        <is>
          <t>Anthropic API</t>
        </is>
      </c>
      <c r="B15" s="18" t="inlineStr">
        <is>
          <t>AI</t>
        </is>
      </c>
      <c r="C15" s="18" t="inlineStr">
        <is>
          <t>Usage-based (Claude Sonnet)</t>
        </is>
      </c>
      <c r="D15" s="24" t="n">
        <v>20</v>
      </c>
      <c r="E15" s="18" t="inlineStr">
        <is>
          <t>Phase 4</t>
        </is>
      </c>
      <c r="F15" s="18" t="inlineStr">
        <is>
          <t>Required</t>
        </is>
      </c>
      <c r="G15" s="18" t="inlineStr">
        <is>
          <t>AI Sage chat + extraction + summarization. €20/mo estimate for low usage. Scales with users.</t>
        </is>
      </c>
    </row>
    <row r="16" ht="36" customHeight="1">
      <c r="A16" s="17" t="inlineStr">
        <is>
          <t>Expo EAS Build</t>
        </is>
      </c>
      <c r="B16" s="17" t="inlineStr">
        <is>
          <t>Mobile</t>
        </is>
      </c>
      <c r="C16" s="17" t="inlineStr">
        <is>
          <t>Free → Production</t>
        </is>
      </c>
      <c r="D16" s="23" t="n">
        <v>0</v>
      </c>
      <c r="E16" s="17" t="inlineStr">
        <is>
          <t>Phase 7</t>
        </is>
      </c>
      <c r="F16" s="17" t="inlineStr">
        <is>
          <t>Free now</t>
        </is>
      </c>
      <c r="G16" s="17" t="inlineStr">
        <is>
          <t>Mobile build service. Free: 30 builds/mo. Production plan: $99/mo if needed.</t>
        </is>
      </c>
    </row>
    <row r="17" ht="36" customHeight="1">
      <c r="A17" s="18" t="inlineStr">
        <is>
          <t>Vercel Pro</t>
        </is>
      </c>
      <c r="B17" s="18" t="inlineStr">
        <is>
          <t>Infrastructure</t>
        </is>
      </c>
      <c r="C17" s="18" t="inlineStr">
        <is>
          <t>Pro</t>
        </is>
      </c>
      <c r="D17" s="24" t="n">
        <v>20</v>
      </c>
      <c r="E17" s="18" t="inlineStr">
        <is>
          <t>Phase 8</t>
        </is>
      </c>
      <c r="F17" s="18" t="inlineStr">
        <is>
          <t>At launch</t>
        </is>
      </c>
      <c r="G17" s="18" t="inlineStr">
        <is>
          <t>Upgrade at launch for bandwidth, analytics, team access. €20/mo.</t>
        </is>
      </c>
    </row>
    <row r="18" ht="36" customHeight="1">
      <c r="A18" s="17" t="inlineStr">
        <is>
          <t>GitHub Team</t>
        </is>
      </c>
      <c r="B18" s="17" t="inlineStr">
        <is>
          <t>Development</t>
        </is>
      </c>
      <c r="C18" s="17" t="inlineStr">
        <is>
          <t>Team (private)</t>
        </is>
      </c>
      <c r="D18" s="23" t="n">
        <v>4</v>
      </c>
      <c r="E18" s="17" t="inlineStr">
        <is>
          <t>Phase 8</t>
        </is>
      </c>
      <c r="F18" s="17" t="inlineStr">
        <is>
          <t>At launch</t>
        </is>
      </c>
      <c r="G18" s="17" t="inlineStr">
        <is>
          <t>Switch to private repo before launch. $4/user/mo.</t>
        </is>
      </c>
    </row>
    <row r="19" ht="36" customHeight="1">
      <c r="A19" s="18" t="inlineStr">
        <is>
          <t>PostHog</t>
        </is>
      </c>
      <c r="B19" s="18" t="inlineStr">
        <is>
          <t>Analytics</t>
        </is>
      </c>
      <c r="C19" s="18" t="inlineStr">
        <is>
          <t>Free (1M events/mo)</t>
        </is>
      </c>
      <c r="D19" s="24" t="n">
        <v>0</v>
      </c>
      <c r="E19" s="18" t="inlineStr">
        <is>
          <t>Optional</t>
        </is>
      </c>
      <c r="F19" s="18" t="inlineStr">
        <is>
          <t>Optional</t>
        </is>
      </c>
      <c r="G19" s="18" t="inlineStr">
        <is>
          <t>Product analytics. Free tier covers early growth. No personal data needed.</t>
        </is>
      </c>
    </row>
    <row r="20" ht="36" customHeight="1">
      <c r="A20" s="17" t="inlineStr">
        <is>
          <t>Plausible</t>
        </is>
      </c>
      <c r="B20" s="17" t="inlineStr">
        <is>
          <t>Analytics</t>
        </is>
      </c>
      <c r="C20" s="17" t="inlineStr">
        <is>
          <t>Starter</t>
        </is>
      </c>
      <c r="D20" s="23" t="n">
        <v>9</v>
      </c>
      <c r="E20" s="17" t="inlineStr">
        <is>
          <t>Optional</t>
        </is>
      </c>
      <c r="F20" s="17" t="inlineStr">
        <is>
          <t>Optional</t>
        </is>
      </c>
      <c r="G20" s="17" t="inlineStr">
        <is>
          <t>Privacy-friendly analytics alternative to Google Analytics. GDPR-compliant.</t>
        </is>
      </c>
    </row>
    <row r="21" ht="28" customHeight="1">
      <c r="A21" s="25" t="inlineStr">
        <is>
          <t>TOTAL (all services)</t>
        </is>
      </c>
      <c r="B21" s="26" t="n"/>
      <c r="C21" s="26" t="n"/>
      <c r="D21" s="27">
        <f>SUM(D6:D20)</f>
        <v/>
      </c>
      <c r="E21" s="26" t="n"/>
      <c r="F21" s="26" t="n"/>
      <c r="G21" s="26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2" customWidth="1" min="3" max="3"/>
    <col width="14" customWidth="1" min="4" max="4"/>
    <col width="12" customWidth="1" min="5" max="5"/>
    <col width="14" customWidth="1" min="6" max="6"/>
    <col width="52" customWidth="1" min="7" max="7"/>
  </cols>
  <sheetData>
    <row r="1" ht="32" customHeight="1">
      <c r="A1" s="19" t="inlineStr">
        <is>
          <t>One-Time &amp; Annual Costs</t>
        </is>
      </c>
    </row>
    <row r="2" ht="24" customHeight="1">
      <c r="A2" s="28" t="inlineStr">
        <is>
          <t>Total One-Time (Pre-Launch Minimum)</t>
        </is>
      </c>
      <c r="D2" s="29">
        <f>SUMIF(E5:E100,"One-time",C5:C100)</f>
        <v/>
      </c>
    </row>
    <row r="3" ht="24" customHeight="1">
      <c r="A3" s="20" t="inlineStr">
        <is>
          <t>Total Annual (recurring yearly)</t>
        </is>
      </c>
      <c r="D3" s="21">
        <f>SUMIF(E5:E100,"Annual",C5:C100)</f>
        <v/>
      </c>
    </row>
    <row r="4" ht="12" customHeight="1"/>
    <row r="5">
      <c r="A5" s="16" t="inlineStr">
        <is>
          <t>Item</t>
        </is>
      </c>
      <c r="B5" s="16" t="inlineStr">
        <is>
          <t>Category</t>
        </is>
      </c>
      <c r="C5" s="16" t="inlineStr">
        <is>
          <t>EUR</t>
        </is>
      </c>
      <c r="D5" s="16" t="inlineStr">
        <is>
          <t>Priority</t>
        </is>
      </c>
      <c r="E5" s="16" t="inlineStr">
        <is>
          <t>Frequency</t>
        </is>
      </c>
      <c r="F5" s="16" t="inlineStr">
        <is>
          <t>Phase</t>
        </is>
      </c>
      <c r="G5" s="16" t="inlineStr">
        <is>
          <t>Notes</t>
        </is>
      </c>
    </row>
    <row r="6" ht="36" customHeight="1">
      <c r="A6" s="17" t="inlineStr">
        <is>
          <t>Namecheap — syndicsage.com</t>
        </is>
      </c>
      <c r="B6" s="17" t="inlineStr">
        <is>
          <t>Domain</t>
        </is>
      </c>
      <c r="C6" s="23" t="n">
        <v>12</v>
      </c>
      <c r="D6" s="30" t="inlineStr">
        <is>
          <t>Required</t>
        </is>
      </c>
      <c r="E6" s="17" t="inlineStr">
        <is>
          <t>Annual</t>
        </is>
      </c>
      <c r="F6" s="17" t="inlineStr">
        <is>
          <t>Live</t>
        </is>
      </c>
      <c r="G6" s="17" t="inlineStr">
        <is>
          <t>Already purchased. Renews ~€12/yr. Includes DNS management.</t>
        </is>
      </c>
    </row>
    <row r="7" ht="36" customHeight="1">
      <c r="A7" s="18" t="inlineStr">
        <is>
          <t>Google Workspace</t>
        </is>
      </c>
      <c r="B7" s="18" t="inlineStr">
        <is>
          <t>Communication</t>
        </is>
      </c>
      <c r="C7" s="24" t="n">
        <v>72</v>
      </c>
      <c r="D7" s="31" t="inlineStr">
        <is>
          <t>Required</t>
        </is>
      </c>
      <c r="E7" s="18" t="inlineStr">
        <is>
          <t>Annual</t>
        </is>
      </c>
      <c r="F7" s="18" t="inlineStr">
        <is>
          <t>Active</t>
        </is>
      </c>
      <c r="G7" s="18" t="inlineStr">
        <is>
          <t>€6/mo = €72/yr. hello@syndicsage.com. MX records set.</t>
        </is>
      </c>
    </row>
    <row r="8" ht="36" customHeight="1">
      <c r="A8" s="32" t="inlineStr">
        <is>
          <t>EUIPO Trademark — SyndicSage</t>
        </is>
      </c>
      <c r="B8" s="32" t="inlineStr">
        <is>
          <t>Legal</t>
        </is>
      </c>
      <c r="C8" s="33" t="n">
        <v>900</v>
      </c>
      <c r="D8" s="34" t="inlineStr">
        <is>
          <t>High</t>
        </is>
      </c>
      <c r="E8" s="32" t="inlineStr">
        <is>
          <t>One-time</t>
        </is>
      </c>
      <c r="F8" s="32" t="inlineStr">
        <is>
          <t>Pre-launch</t>
        </is>
      </c>
      <c r="G8" s="32" t="inlineStr">
        <is>
          <t>Class 42+35. DIY via euipo.europa.eu Easy Filing. 4-6 months processing.</t>
        </is>
      </c>
    </row>
    <row r="9" ht="36" customHeight="1">
      <c r="A9" s="18" t="inlineStr">
        <is>
          <t>Privacy Policy + Terms of Use</t>
        </is>
      </c>
      <c r="B9" s="18" t="inlineStr">
        <is>
          <t>Legal</t>
        </is>
      </c>
      <c r="C9" s="24" t="n">
        <v>0</v>
      </c>
      <c r="D9" s="31" t="inlineStr">
        <is>
          <t>Required</t>
        </is>
      </c>
      <c r="E9" s="18" t="inlineStr">
        <is>
          <t>One-time</t>
        </is>
      </c>
      <c r="F9" s="18" t="inlineStr">
        <is>
          <t>Pre-launch</t>
        </is>
      </c>
      <c r="G9" s="18" t="inlineStr">
        <is>
          <t>Use iubenda.com (€27/yr) or lawyer (€500-2000). Must be live before first user.</t>
        </is>
      </c>
    </row>
    <row r="10" ht="36" customHeight="1">
      <c r="A10" s="32" t="inlineStr">
        <is>
          <t>GDPR DPA — Supabase</t>
        </is>
      </c>
      <c r="B10" s="32" t="inlineStr">
        <is>
          <t>Legal/GDPR</t>
        </is>
      </c>
      <c r="C10" s="33" t="n">
        <v>0</v>
      </c>
      <c r="D10" s="35" t="inlineStr">
        <is>
          <t>Required</t>
        </is>
      </c>
      <c r="E10" s="32" t="inlineStr">
        <is>
          <t>One-time</t>
        </is>
      </c>
      <c r="F10" s="32" t="inlineStr">
        <is>
          <t>Pre-launch</t>
        </is>
      </c>
      <c r="G10" s="32" t="inlineStr">
        <is>
          <t>Free. Sign via Supabase dashboard under Settings &gt; Legal.</t>
        </is>
      </c>
    </row>
    <row r="11" ht="36" customHeight="1">
      <c r="A11" s="18" t="inlineStr">
        <is>
          <t>GDPR DPA — Vercel</t>
        </is>
      </c>
      <c r="B11" s="18" t="inlineStr">
        <is>
          <t>Legal/GDPR</t>
        </is>
      </c>
      <c r="C11" s="24" t="n">
        <v>0</v>
      </c>
      <c r="D11" s="31" t="inlineStr">
        <is>
          <t>Required</t>
        </is>
      </c>
      <c r="E11" s="18" t="inlineStr">
        <is>
          <t>One-time</t>
        </is>
      </c>
      <c r="F11" s="18" t="inlineStr">
        <is>
          <t>Pre-launch</t>
        </is>
      </c>
      <c r="G11" s="18" t="inlineStr">
        <is>
          <t>Free. Sign via Vercel dashboard under Settings &gt; Legal.</t>
        </is>
      </c>
    </row>
    <row r="12" ht="36" customHeight="1">
      <c r="A12" s="32" t="inlineStr">
        <is>
          <t>GDPR DPA — Resend</t>
        </is>
      </c>
      <c r="B12" s="32" t="inlineStr">
        <is>
          <t>Legal/GDPR</t>
        </is>
      </c>
      <c r="C12" s="33" t="n">
        <v>0</v>
      </c>
      <c r="D12" s="35" t="inlineStr">
        <is>
          <t>Required</t>
        </is>
      </c>
      <c r="E12" s="32" t="inlineStr">
        <is>
          <t>One-time</t>
        </is>
      </c>
      <c r="F12" s="32" t="inlineStr">
        <is>
          <t>Pre-launch</t>
        </is>
      </c>
      <c r="G12" s="32" t="inlineStr">
        <is>
          <t>Free. Sign via Resend dashboard.</t>
        </is>
      </c>
    </row>
    <row r="13" ht="36" customHeight="1">
      <c r="A13" s="18" t="inlineStr">
        <is>
          <t>GDPR DPA — Anthropic</t>
        </is>
      </c>
      <c r="B13" s="18" t="inlineStr">
        <is>
          <t>Legal/GDPR</t>
        </is>
      </c>
      <c r="C13" s="24" t="n">
        <v>0</v>
      </c>
      <c r="D13" s="31" t="inlineStr">
        <is>
          <t>Required</t>
        </is>
      </c>
      <c r="E13" s="18" t="inlineStr">
        <is>
          <t>One-time</t>
        </is>
      </c>
      <c r="F13" s="18" t="inlineStr">
        <is>
          <t>Phase 4</t>
        </is>
      </c>
      <c r="G13" s="18" t="inlineStr">
        <is>
          <t>Free. Anthropic provides standard DPA. Sign before AI features go live.</t>
        </is>
      </c>
    </row>
    <row r="14" ht="36" customHeight="1">
      <c r="A14" s="32" t="inlineStr">
        <is>
          <t>GDPR DPA — Railway</t>
        </is>
      </c>
      <c r="B14" s="32" t="inlineStr">
        <is>
          <t>Legal/GDPR</t>
        </is>
      </c>
      <c r="C14" s="33" t="n">
        <v>0</v>
      </c>
      <c r="D14" s="35" t="inlineStr">
        <is>
          <t>Required</t>
        </is>
      </c>
      <c r="E14" s="32" t="inlineStr">
        <is>
          <t>One-time</t>
        </is>
      </c>
      <c r="F14" s="32" t="inlineStr">
        <is>
          <t>Pre-launch</t>
        </is>
      </c>
      <c r="G14" s="32" t="inlineStr">
        <is>
          <t>Free. Contact Railway support for DPA.</t>
        </is>
      </c>
    </row>
    <row r="15" ht="36" customHeight="1">
      <c r="A15" s="18" t="inlineStr">
        <is>
          <t>Apple Developer Program</t>
        </is>
      </c>
      <c r="B15" s="18" t="inlineStr">
        <is>
          <t>Mobile</t>
        </is>
      </c>
      <c r="C15" s="24" t="n">
        <v>99</v>
      </c>
      <c r="D15" s="31" t="inlineStr">
        <is>
          <t>Required</t>
        </is>
      </c>
      <c r="E15" s="18" t="inlineStr">
        <is>
          <t>Annual</t>
        </is>
      </c>
      <c r="F15" s="18" t="inlineStr">
        <is>
          <t>Phase 7</t>
        </is>
      </c>
      <c r="G15" s="18" t="inlineStr">
        <is>
          <t>Required to publish on App Store. $99/yr. Enables Apple Sign In on mobile.</t>
        </is>
      </c>
    </row>
    <row r="16" ht="36" customHeight="1">
      <c r="A16" s="32" t="inlineStr">
        <is>
          <t>Google Play Console</t>
        </is>
      </c>
      <c r="B16" s="32" t="inlineStr">
        <is>
          <t>Mobile</t>
        </is>
      </c>
      <c r="C16" s="33" t="n">
        <v>25</v>
      </c>
      <c r="D16" s="35" t="inlineStr">
        <is>
          <t>Required</t>
        </is>
      </c>
      <c r="E16" s="32" t="inlineStr">
        <is>
          <t>One-time</t>
        </is>
      </c>
      <c r="F16" s="32" t="inlineStr">
        <is>
          <t>Phase 7</t>
        </is>
      </c>
      <c r="G16" s="32" t="inlineStr">
        <is>
          <t>One-time $25 registration fee to publish on Google Play.</t>
        </is>
      </c>
    </row>
    <row r="17" ht="36" customHeight="1">
      <c r="A17" s="18" t="inlineStr">
        <is>
          <t>iubenda Privacy Policy</t>
        </is>
      </c>
      <c r="B17" s="18" t="inlineStr">
        <is>
          <t>Legal</t>
        </is>
      </c>
      <c r="C17" s="24" t="n">
        <v>27</v>
      </c>
      <c r="D17" s="36" t="inlineStr">
        <is>
          <t>Recommended</t>
        </is>
      </c>
      <c r="E17" s="18" t="inlineStr">
        <is>
          <t>Annual</t>
        </is>
      </c>
      <c r="F17" s="18" t="inlineStr">
        <is>
          <t>Pre-launch</t>
        </is>
      </c>
      <c r="G17" s="18" t="inlineStr">
        <is>
          <t>GDPR-compliant privacy policy generator. Covers Belgium/EU. €27/yr.</t>
        </is>
      </c>
    </row>
    <row r="18" ht="36" customHeight="1">
      <c r="A18" s="32" t="inlineStr">
        <is>
          <t>Sentry Team Plan</t>
        </is>
      </c>
      <c r="B18" s="32" t="inlineStr">
        <is>
          <t>Monitoring</t>
        </is>
      </c>
      <c r="C18" s="33" t="n">
        <v>312</v>
      </c>
      <c r="D18" s="37" t="inlineStr">
        <is>
          <t>Optional</t>
        </is>
      </c>
      <c r="E18" s="32" t="inlineStr">
        <is>
          <t>Annual</t>
        </is>
      </c>
      <c r="F18" s="32" t="inlineStr">
        <is>
          <t>Phase 3+</t>
        </is>
      </c>
      <c r="G18" s="32" t="inlineStr">
        <is>
          <t>$26/mo if free tier (5k errors/mo) is exceeded. Defer until needed.</t>
        </is>
      </c>
    </row>
    <row r="19" ht="36" customHeight="1">
      <c r="A19" s="18" t="inlineStr">
        <is>
          <t>Semgrep Pro</t>
        </is>
      </c>
      <c r="B19" s="18" t="inlineStr">
        <is>
          <t>Security</t>
        </is>
      </c>
      <c r="C19" s="24" t="n">
        <v>0</v>
      </c>
      <c r="D19" s="38" t="inlineStr">
        <is>
          <t>Optional</t>
        </is>
      </c>
      <c r="E19" s="18" t="inlineStr">
        <is>
          <t>Annual</t>
        </is>
      </c>
      <c r="F19" s="18" t="inlineStr">
        <is>
          <t>Deferred</t>
        </is>
      </c>
      <c r="G19" s="18" t="inlineStr">
        <is>
          <t>Free Community plan sufficient for solo founder. Pro when team grows.</t>
        </is>
      </c>
    </row>
    <row r="20" ht="36" customHeight="1">
      <c r="A20" s="39" t="inlineStr">
        <is>
          <t>External Pentest</t>
        </is>
      </c>
      <c r="B20" s="39" t="inlineStr">
        <is>
          <t>Security</t>
        </is>
      </c>
      <c r="C20" s="40" t="n">
        <v>2000</v>
      </c>
      <c r="D20" s="41" t="inlineStr">
        <is>
          <t>Deferred</t>
        </is>
      </c>
      <c r="E20" s="39" t="inlineStr">
        <is>
          <t>One-time</t>
        </is>
      </c>
      <c r="F20" s="39" t="inlineStr">
        <is>
          <t>Phase 8+</t>
        </is>
      </c>
      <c r="G20" s="39" t="inlineStr">
        <is>
          <t>Trigger: first enterprise contract or €50k ARR. OWASP Top 10 + tenant isolation.</t>
        </is>
      </c>
    </row>
    <row r="21" ht="28" customHeight="1">
      <c r="A21" s="25" t="inlineStr">
        <is>
          <t>TOTAL ONE-TIME (Required only)</t>
        </is>
      </c>
      <c r="B21" s="26" t="n"/>
      <c r="C21" s="27">
        <f>SUMIF(D6:D20,"Required",C6:C20)+SUMIF(D6:D20,"High",C6:C20)</f>
        <v/>
      </c>
      <c r="D21" s="26" t="n"/>
      <c r="E21" s="26" t="n"/>
      <c r="F21" s="26" t="n"/>
      <c r="G21" s="26" t="n"/>
    </row>
  </sheetData>
  <mergeCells count="3">
    <mergeCell ref="A3:C3"/>
    <mergeCell ref="A1:F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8" customWidth="1" min="3" max="3"/>
    <col width="40" customWidth="1" min="4" max="4"/>
    <col width="22" customWidth="1" min="5" max="5"/>
    <col width="14" customWidth="1" min="6" max="6"/>
    <col width="14" customWidth="1" min="7" max="7"/>
  </cols>
  <sheetData>
    <row r="1" ht="32" customHeight="1">
      <c r="A1" s="19" t="inlineStr">
        <is>
          <t>All Accounts, Logins &amp; Access — SyndicSage V5</t>
        </is>
      </c>
    </row>
    <row r="2">
      <c r="A2" s="16" t="inlineStr">
        <is>
          <t>Service</t>
        </is>
      </c>
      <c r="B2" s="16" t="inlineStr">
        <is>
          <t>URL</t>
        </is>
      </c>
      <c r="C2" s="16" t="inlineStr">
        <is>
          <t>Account / Login</t>
        </is>
      </c>
      <c r="D2" s="16" t="inlineStr">
        <is>
          <t>Purpose</t>
        </is>
      </c>
      <c r="E2" s="16" t="inlineStr">
        <is>
          <t>Tier</t>
        </is>
      </c>
      <c r="F2" s="16" t="inlineStr">
        <is>
          <t>Status</t>
        </is>
      </c>
      <c r="G2" s="16" t="inlineStr">
        <is>
          <t>Monthly Cost</t>
        </is>
      </c>
    </row>
    <row r="3" ht="30" customHeight="1">
      <c r="A3" s="17" t="inlineStr">
        <is>
          <t>Supabase</t>
        </is>
      </c>
      <c r="B3" s="17" t="inlineStr">
        <is>
          <t>supabase.com</t>
        </is>
      </c>
      <c r="C3" s="17" t="inlineStr">
        <is>
          <t>chrisndi-syn account</t>
        </is>
      </c>
      <c r="D3" s="17" t="inlineStr">
        <is>
          <t>PostgreSQL DB + Auth + Storage + Realtime</t>
        </is>
      </c>
      <c r="E3" s="17" t="inlineStr">
        <is>
          <t>Pro</t>
        </is>
      </c>
      <c r="F3" s="17" t="inlineStr">
        <is>
          <t>Active</t>
        </is>
      </c>
      <c r="G3" s="17" t="inlineStr">
        <is>
          <t>€25</t>
        </is>
      </c>
    </row>
    <row r="4" ht="30" customHeight="1">
      <c r="A4" s="18" t="inlineStr">
        <is>
          <t>Vercel</t>
        </is>
      </c>
      <c r="B4" s="18" t="inlineStr">
        <is>
          <t>vercel.com</t>
        </is>
      </c>
      <c r="C4" s="18" t="inlineStr">
        <is>
          <t>chrisndi-syn account</t>
        </is>
      </c>
      <c r="D4" s="18" t="inlineStr">
        <is>
          <t>Frontend hosting — app.syndicsage.com</t>
        </is>
      </c>
      <c r="E4" s="18" t="inlineStr">
        <is>
          <t>Hobby → Pro</t>
        </is>
      </c>
      <c r="F4" s="18" t="inlineStr">
        <is>
          <t>Active</t>
        </is>
      </c>
      <c r="G4" s="18" t="inlineStr">
        <is>
          <t>€0 → €20</t>
        </is>
      </c>
    </row>
    <row r="5" ht="30" customHeight="1">
      <c r="A5" s="17" t="inlineStr">
        <is>
          <t>Railway</t>
        </is>
      </c>
      <c r="B5" s="17" t="inlineStr">
        <is>
          <t>railway.app</t>
        </is>
      </c>
      <c r="C5" s="17" t="inlineStr">
        <is>
          <t>chrisndi-syn account</t>
        </is>
      </c>
      <c r="D5" s="17" t="inlineStr">
        <is>
          <t>Hono API + BullMQ Worker hosting</t>
        </is>
      </c>
      <c r="E5" s="17" t="inlineStr">
        <is>
          <t>Starter</t>
        </is>
      </c>
      <c r="F5" s="17" t="inlineStr">
        <is>
          <t>Active</t>
        </is>
      </c>
      <c r="G5" s="17" t="inlineStr">
        <is>
          <t>€15</t>
        </is>
      </c>
    </row>
    <row r="6" ht="30" customHeight="1">
      <c r="A6" s="18" t="inlineStr">
        <is>
          <t>GitHub</t>
        </is>
      </c>
      <c r="B6" s="18" t="inlineStr">
        <is>
          <t>github.com/chrisndi-syn</t>
        </is>
      </c>
      <c r="C6" s="18" t="inlineStr">
        <is>
          <t>chrisndi-syn</t>
        </is>
      </c>
      <c r="D6" s="18" t="inlineStr">
        <is>
          <t>Source code — SyndicSage repo (go private!)</t>
        </is>
      </c>
      <c r="E6" s="18" t="inlineStr">
        <is>
          <t>Free → Team</t>
        </is>
      </c>
      <c r="F6" s="42" t="inlineStr">
        <is>
          <t>Public ⚠️</t>
        </is>
      </c>
      <c r="G6" s="18" t="inlineStr">
        <is>
          <t>€0 → €4</t>
        </is>
      </c>
    </row>
    <row r="7" ht="30" customHeight="1">
      <c r="A7" s="17" t="inlineStr">
        <is>
          <t>Google Workspace</t>
        </is>
      </c>
      <c r="B7" s="17" t="inlineStr">
        <is>
          <t>workspace.google.com</t>
        </is>
      </c>
      <c r="C7" s="17" t="inlineStr">
        <is>
          <t>hello@syndicsage.com</t>
        </is>
      </c>
      <c r="D7" s="17" t="inlineStr">
        <is>
          <t>Business email + Google Sign In OAuth</t>
        </is>
      </c>
      <c r="E7" s="17" t="inlineStr">
        <is>
          <t>Business Starter</t>
        </is>
      </c>
      <c r="F7" s="17" t="inlineStr">
        <is>
          <t>Active</t>
        </is>
      </c>
      <c r="G7" s="17" t="inlineStr">
        <is>
          <t>€6</t>
        </is>
      </c>
    </row>
    <row r="8" ht="30" customHeight="1">
      <c r="A8" s="18" t="inlineStr">
        <is>
          <t>Anthropic</t>
        </is>
      </c>
      <c r="B8" s="18" t="inlineStr">
        <is>
          <t>console.anthropic.com</t>
        </is>
      </c>
      <c r="C8" s="18" t="inlineStr">
        <is>
          <t>chris account</t>
        </is>
      </c>
      <c r="D8" s="18" t="inlineStr">
        <is>
          <t>Claude API — AI Sage features</t>
        </is>
      </c>
      <c r="E8" s="18" t="inlineStr">
        <is>
          <t>Pay-as-you-go</t>
        </is>
      </c>
      <c r="F8" s="18" t="inlineStr">
        <is>
          <t>Ready</t>
        </is>
      </c>
      <c r="G8" s="18" t="inlineStr">
        <is>
          <t>€20+</t>
        </is>
      </c>
    </row>
    <row r="9" ht="30" customHeight="1">
      <c r="A9" s="17" t="inlineStr">
        <is>
          <t>Namecheap</t>
        </is>
      </c>
      <c r="B9" s="17" t="inlineStr">
        <is>
          <t>namecheap.com</t>
        </is>
      </c>
      <c r="C9" s="17" t="inlineStr">
        <is>
          <t>chris account</t>
        </is>
      </c>
      <c r="D9" s="17" t="inlineStr">
        <is>
          <t>syndicsage.com domain + DNS</t>
        </is>
      </c>
      <c r="E9" s="17" t="inlineStr">
        <is>
          <t>Domain</t>
        </is>
      </c>
      <c r="F9" s="17" t="inlineStr">
        <is>
          <t>Active</t>
        </is>
      </c>
      <c r="G9" s="17" t="inlineStr">
        <is>
          <t>€1/mo</t>
        </is>
      </c>
    </row>
    <row r="10" ht="30" customHeight="1">
      <c r="A10" s="18" t="inlineStr">
        <is>
          <t>Resend</t>
        </is>
      </c>
      <c r="B10" s="18" t="inlineStr">
        <is>
          <t>resend.com</t>
        </is>
      </c>
      <c r="C10" s="18" t="inlineStr">
        <is>
          <t>chrisndi-syn account</t>
        </is>
      </c>
      <c r="D10" s="18" t="inlineStr">
        <is>
          <t>Transactional email (invites, reminders)</t>
        </is>
      </c>
      <c r="E10" s="18" t="inlineStr">
        <is>
          <t>Free</t>
        </is>
      </c>
      <c r="F10" s="18" t="inlineStr">
        <is>
          <t>Set up</t>
        </is>
      </c>
      <c r="G10" s="18" t="inlineStr">
        <is>
          <t>€0</t>
        </is>
      </c>
    </row>
    <row r="11" ht="30" customHeight="1">
      <c r="A11" s="17" t="inlineStr">
        <is>
          <t>Upstash</t>
        </is>
      </c>
      <c r="B11" s="17" t="inlineStr">
        <is>
          <t>upstash.com</t>
        </is>
      </c>
      <c r="C11" s="17" t="inlineStr">
        <is>
          <t>chrisndi-syn account</t>
        </is>
      </c>
      <c r="D11" s="17" t="inlineStr">
        <is>
          <t>Redis — rate limiting + BullMQ queue</t>
        </is>
      </c>
      <c r="E11" s="17" t="inlineStr">
        <is>
          <t>Free</t>
        </is>
      </c>
      <c r="F11" s="17" t="inlineStr">
        <is>
          <t>Set up</t>
        </is>
      </c>
      <c r="G11" s="17" t="inlineStr">
        <is>
          <t>€0</t>
        </is>
      </c>
    </row>
    <row r="12" ht="30" customHeight="1">
      <c r="A12" s="18" t="inlineStr">
        <is>
          <t>Sentry</t>
        </is>
      </c>
      <c r="B12" s="18" t="inlineStr">
        <is>
          <t>sentry.io</t>
        </is>
      </c>
      <c r="C12" s="18" t="inlineStr">
        <is>
          <t>chrisndi-syn account</t>
        </is>
      </c>
      <c r="D12" s="18" t="inlineStr">
        <is>
          <t>Error tracking + performance monitoring</t>
        </is>
      </c>
      <c r="E12" s="18" t="inlineStr">
        <is>
          <t>Free</t>
        </is>
      </c>
      <c r="F12" s="18" t="inlineStr">
        <is>
          <t>Set up</t>
        </is>
      </c>
      <c r="G12" s="18" t="inlineStr">
        <is>
          <t>€0</t>
        </is>
      </c>
    </row>
    <row r="13" ht="30" customHeight="1">
      <c r="A13" s="17" t="inlineStr">
        <is>
          <t>Apple Developer</t>
        </is>
      </c>
      <c r="B13" s="17" t="inlineStr">
        <is>
          <t>developer.apple.com</t>
        </is>
      </c>
      <c r="C13" s="17" t="inlineStr">
        <is>
          <t>chris Apple ID</t>
        </is>
      </c>
      <c r="D13" s="17" t="inlineStr">
        <is>
          <t>App Store publishing + Apple Sign In</t>
        </is>
      </c>
      <c r="E13" s="17" t="inlineStr">
        <is>
          <t>Standard ($99/yr)</t>
        </is>
      </c>
      <c r="F13" s="17" t="inlineStr">
        <is>
          <t>Phase 7</t>
        </is>
      </c>
      <c r="G13" s="17" t="inlineStr">
        <is>
          <t>€8/mo</t>
        </is>
      </c>
    </row>
    <row r="14" ht="30" customHeight="1">
      <c r="A14" s="18" t="inlineStr">
        <is>
          <t>Google Play Console</t>
        </is>
      </c>
      <c r="B14" s="18" t="inlineStr">
        <is>
          <t>play.google.com/console</t>
        </is>
      </c>
      <c r="C14" s="18" t="inlineStr">
        <is>
          <t>chris Google account</t>
        </is>
      </c>
      <c r="D14" s="18" t="inlineStr">
        <is>
          <t>Android app publishing</t>
        </is>
      </c>
      <c r="E14" s="18" t="inlineStr">
        <is>
          <t>One-time €25</t>
        </is>
      </c>
      <c r="F14" s="18" t="inlineStr">
        <is>
          <t>Phase 7</t>
        </is>
      </c>
      <c r="G14" s="18" t="inlineStr">
        <is>
          <t>€0</t>
        </is>
      </c>
    </row>
    <row r="15" ht="30" customHeight="1">
      <c r="A15" s="32" t="inlineStr">
        <is>
          <t>EUIPO</t>
        </is>
      </c>
      <c r="B15" s="32" t="inlineStr">
        <is>
          <t>euipo.europa.eu</t>
        </is>
      </c>
      <c r="C15" s="32" t="inlineStr">
        <is>
          <t>chris account</t>
        </is>
      </c>
      <c r="D15" s="32" t="inlineStr">
        <is>
          <t>SyndicSage trademark filing (Class 42+35)</t>
        </is>
      </c>
      <c r="E15" s="32" t="inlineStr">
        <is>
          <t>€900 one-time</t>
        </is>
      </c>
      <c r="F15" s="32" t="inlineStr">
        <is>
          <t>Pre-launch</t>
        </is>
      </c>
      <c r="G15" s="32" t="inlineStr">
        <is>
          <t>€0</t>
        </is>
      </c>
    </row>
    <row r="16" ht="30" customHeight="1">
      <c r="A16" s="18" t="inlineStr">
        <is>
          <t>iubenda</t>
        </is>
      </c>
      <c r="B16" s="18" t="inlineStr">
        <is>
          <t>iubenda.com</t>
        </is>
      </c>
      <c r="C16" s="18" t="inlineStr">
        <is>
          <t>chris account</t>
        </is>
      </c>
      <c r="D16" s="18" t="inlineStr">
        <is>
          <t>GDPR privacy policy + cookie policy</t>
        </is>
      </c>
      <c r="E16" s="18" t="inlineStr">
        <is>
          <t>€27/yr</t>
        </is>
      </c>
      <c r="F16" s="18" t="inlineStr">
        <is>
          <t>Pre-launch</t>
        </is>
      </c>
      <c r="G16" s="18" t="inlineStr">
        <is>
          <t>€2/mo</t>
        </is>
      </c>
    </row>
    <row r="17" ht="30" customHeight="1">
      <c r="A17" s="17" t="inlineStr">
        <is>
          <t>PostHog</t>
        </is>
      </c>
      <c r="B17" s="17" t="inlineStr">
        <is>
          <t>posthog.com</t>
        </is>
      </c>
      <c r="C17" s="17" t="inlineStr">
        <is>
          <t>chrisndi-syn account</t>
        </is>
      </c>
      <c r="D17" s="17" t="inlineStr">
        <is>
          <t>Product analytics (optional)</t>
        </is>
      </c>
      <c r="E17" s="17" t="inlineStr">
        <is>
          <t>Free</t>
        </is>
      </c>
      <c r="F17" s="17" t="inlineStr">
        <is>
          <t>Optional</t>
        </is>
      </c>
      <c r="G17" s="17" t="inlineStr">
        <is>
          <t>€0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18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 ht="32" customHeight="1">
      <c r="A1" s="19" t="inlineStr">
        <is>
          <t>Cost Rollout by Phase</t>
        </is>
      </c>
    </row>
    <row r="2">
      <c r="A2" s="16" t="inlineStr">
        <is>
          <t>Phase</t>
        </is>
      </c>
      <c r="B2" s="16" t="inlineStr">
        <is>
          <t>Name</t>
        </is>
      </c>
      <c r="C2" s="16" t="inlineStr">
        <is>
          <t>Services Activated</t>
        </is>
      </c>
      <c r="D2" s="16" t="inlineStr">
        <is>
          <t>New Monthly Cost</t>
        </is>
      </c>
      <c r="E2" s="16" t="inlineStr">
        <is>
          <t>Cumulative Monthly</t>
        </is>
      </c>
      <c r="F2" s="16" t="inlineStr">
        <is>
          <t>One-Time This Phase</t>
        </is>
      </c>
      <c r="G2" s="16" t="inlineStr">
        <is>
          <t>Cumulative One-Time</t>
        </is>
      </c>
      <c r="H2" s="16" t="inlineStr">
        <is>
          <t>Notes</t>
        </is>
      </c>
    </row>
    <row r="3" ht="36" customHeight="1">
      <c r="A3" s="17" t="inlineStr">
        <is>
          <t>Phase 0</t>
        </is>
      </c>
      <c r="B3" s="17" t="inlineStr">
        <is>
          <t>Architecture Foundation</t>
        </is>
      </c>
      <c r="C3" s="17" t="inlineStr">
        <is>
          <t>Supabase Pro, Railway API, Railway Worker, Upstash Redis (free)</t>
        </is>
      </c>
      <c r="D3" s="23" t="n">
        <v>40</v>
      </c>
      <c r="E3" s="23" t="n">
        <v>40</v>
      </c>
      <c r="F3" s="23" t="n">
        <v>0</v>
      </c>
      <c r="G3" s="23" t="n">
        <v>0</v>
      </c>
      <c r="H3" s="17" t="inlineStr">
        <is>
          <t>Core infrastructure spun up. No users yet.</t>
        </is>
      </c>
    </row>
    <row r="4" ht="36" customHeight="1">
      <c r="A4" s="18" t="inlineStr">
        <is>
          <t>Phase 1</t>
        </is>
      </c>
      <c r="B4" s="18" t="inlineStr">
        <is>
          <t>Shell</t>
        </is>
      </c>
      <c r="C4" s="18" t="inlineStr">
        <is>
          <t>GitHub Team (private repo), Google Workspace</t>
        </is>
      </c>
      <c r="D4" s="24" t="n">
        <v>21</v>
      </c>
      <c r="E4" s="24" t="n">
        <v>61</v>
      </c>
      <c r="F4" s="24" t="n">
        <v>0</v>
      </c>
      <c r="G4" s="24" t="n">
        <v>0</v>
      </c>
      <c r="H4" s="18" t="inlineStr">
        <is>
          <t>Login page live. Repo goes private.</t>
        </is>
      </c>
    </row>
    <row r="5" ht="36" customHeight="1">
      <c r="A5" s="17" t="inlineStr">
        <is>
          <t>Phase 2</t>
        </is>
      </c>
      <c r="B5" s="17" t="inlineStr">
        <is>
          <t>Core Data</t>
        </is>
      </c>
      <c r="C5" s="17" t="inlineStr">
        <is>
          <t>No new services</t>
        </is>
      </c>
      <c r="D5" s="23" t="n">
        <v>0</v>
      </c>
      <c r="E5" s="23" t="n">
        <v>61</v>
      </c>
      <c r="F5" s="23" t="n">
        <v>0</v>
      </c>
      <c r="G5" s="23" t="n">
        <v>0</v>
      </c>
      <c r="H5" s="17" t="inlineStr">
        <is>
          <t>Buildings, owners, charges, settings.</t>
        </is>
      </c>
    </row>
    <row r="6" ht="36" customHeight="1">
      <c r="A6" s="18" t="inlineStr">
        <is>
          <t>Phase 2.5</t>
        </is>
      </c>
      <c r="B6" s="18" t="inlineStr">
        <is>
          <t>Audit Foundation</t>
        </is>
      </c>
      <c r="C6" s="18" t="inlineStr">
        <is>
          <t>No new services</t>
        </is>
      </c>
      <c r="D6" s="24" t="n">
        <v>0</v>
      </c>
      <c r="E6" s="24" t="n">
        <v>61</v>
      </c>
      <c r="F6" s="24" t="n">
        <v>0</v>
      </c>
      <c r="G6" s="24" t="n">
        <v>0</v>
      </c>
      <c r="H6" s="18" t="inlineStr">
        <is>
          <t>Audit log + GDPR table created.</t>
        </is>
      </c>
    </row>
    <row r="7" ht="36" customHeight="1">
      <c r="A7" s="17" t="inlineStr">
        <is>
          <t>Phase 3</t>
        </is>
      </c>
      <c r="B7" s="17" t="inlineStr">
        <is>
          <t>Communication</t>
        </is>
      </c>
      <c r="C7" s="17" t="inlineStr">
        <is>
          <t>Resend (free), Sentry (free)</t>
        </is>
      </c>
      <c r="D7" s="23" t="n">
        <v>0</v>
      </c>
      <c r="E7" s="23" t="n">
        <v>61</v>
      </c>
      <c r="F7" s="23" t="n">
        <v>0</v>
      </c>
      <c r="G7" s="23" t="n">
        <v>0</v>
      </c>
      <c r="H7" s="17" t="inlineStr">
        <is>
          <t>Documents, inbox, timeline, tickets.</t>
        </is>
      </c>
    </row>
    <row r="8" ht="36" customHeight="1">
      <c r="A8" s="18" t="inlineStr">
        <is>
          <t>Phase 4</t>
        </is>
      </c>
      <c r="B8" s="18" t="inlineStr">
        <is>
          <t>Intelligence</t>
        </is>
      </c>
      <c r="C8" s="18" t="inlineStr">
        <is>
          <t>Anthropic API</t>
        </is>
      </c>
      <c r="D8" s="24" t="n">
        <v>20</v>
      </c>
      <c r="E8" s="24" t="n">
        <v>81</v>
      </c>
      <c r="F8" s="24" t="n">
        <v>0</v>
      </c>
      <c r="G8" s="24" t="n">
        <v>0</v>
      </c>
      <c r="H8" s="18" t="inlineStr">
        <is>
          <t>AI Sage, extraction, RAG. Cost scales with usage.</t>
        </is>
      </c>
    </row>
    <row r="9" ht="36" customHeight="1">
      <c r="A9" s="17" t="inlineStr">
        <is>
          <t>Phase 5</t>
        </is>
      </c>
      <c r="B9" s="17" t="inlineStr">
        <is>
          <t>Governance</t>
        </is>
      </c>
      <c r="C9" s="17" t="inlineStr">
        <is>
          <t>No new services</t>
        </is>
      </c>
      <c r="D9" s="23" t="n">
        <v>0</v>
      </c>
      <c r="E9" s="23" t="n">
        <v>81</v>
      </c>
      <c r="F9" s="23" t="n">
        <v>0</v>
      </c>
      <c r="G9" s="23" t="n">
        <v>0</v>
      </c>
      <c r="H9" s="17" t="inlineStr">
        <is>
          <t>Roadmap, voting, meetings, reporting.</t>
        </is>
      </c>
    </row>
    <row r="10" ht="36" customHeight="1">
      <c r="A10" s="18" t="inlineStr">
        <is>
          <t>Phase 6</t>
        </is>
      </c>
      <c r="B10" s="18" t="inlineStr">
        <is>
          <t>Portal</t>
        </is>
      </c>
      <c r="C10" s="18" t="inlineStr">
        <is>
          <t>Resend Scale (more emails)</t>
        </is>
      </c>
      <c r="D10" s="24" t="n">
        <v>20</v>
      </c>
      <c r="E10" s="24" t="n">
        <v>101</v>
      </c>
      <c r="F10" s="24" t="n">
        <v>0</v>
      </c>
      <c r="G10" s="24" t="n">
        <v>0</v>
      </c>
      <c r="H10" s="18" t="inlineStr">
        <is>
          <t>Resident portal live. Email volume increases.</t>
        </is>
      </c>
    </row>
    <row r="11" ht="36" customHeight="1">
      <c r="A11" s="17" t="inlineStr">
        <is>
          <t>Phase 7</t>
        </is>
      </c>
      <c r="B11" s="17" t="inlineStr">
        <is>
          <t>Mobile</t>
        </is>
      </c>
      <c r="C11" s="17" t="inlineStr">
        <is>
          <t>Apple Developer ($99/yr), Google Play (€25 once)</t>
        </is>
      </c>
      <c r="D11" s="23" t="n">
        <v>8</v>
      </c>
      <c r="E11" s="23" t="n">
        <v>109</v>
      </c>
      <c r="F11" s="23" t="n">
        <v>124</v>
      </c>
      <c r="G11" s="23" t="n">
        <v>124</v>
      </c>
      <c r="H11" s="17" t="inlineStr">
        <is>
          <t>iOS + Android. Apple Dev €99/yr = €8/mo equiv.</t>
        </is>
      </c>
    </row>
    <row r="12" ht="36" customHeight="1">
      <c r="A12" s="18" t="inlineStr">
        <is>
          <t>Phase 8</t>
        </is>
      </c>
      <c r="B12" s="18" t="inlineStr">
        <is>
          <t>Launch</t>
        </is>
      </c>
      <c r="C12" s="18" t="inlineStr">
        <is>
          <t>Vercel Pro, iubenda, trademark filed</t>
        </is>
      </c>
      <c r="D12" s="24" t="n">
        <v>29</v>
      </c>
      <c r="E12" s="24" t="n">
        <v>138</v>
      </c>
      <c r="F12" s="24" t="n">
        <v>927</v>
      </c>
      <c r="G12" s="24" t="n">
        <v>1051</v>
      </c>
      <c r="H12" s="18" t="inlineStr">
        <is>
          <t>Vercel Pro €20 + iubenda €2 + GitHub Team already counted.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8" customWidth="1" min="4" max="4"/>
    <col width="28" customWidth="1" min="5" max="5"/>
  </cols>
  <sheetData>
    <row r="1" ht="32" customHeight="1">
      <c r="A1" s="19" t="inlineStr">
        <is>
          <t>Break-Even &amp; Revenue Projection</t>
        </is>
      </c>
    </row>
    <row r="2" ht="22" customHeight="1">
      <c r="A2" s="15" t="inlineStr">
        <is>
          <t>Pricing Assumptions</t>
        </is>
      </c>
    </row>
    <row r="3">
      <c r="A3" s="16" t="inlineStr">
        <is>
          <t>Parameter</t>
        </is>
      </c>
      <c r="B3" s="16" t="inlineStr">
        <is>
          <t>Value</t>
        </is>
      </c>
      <c r="C3" s="16" t="inlineStr">
        <is>
          <t>Unit</t>
        </is>
      </c>
      <c r="D3" s="16" t="inlineStr"/>
      <c r="E3" s="16" t="inlineStr"/>
    </row>
    <row r="4" ht="22" customHeight="1">
      <c r="A4" s="43" t="inlineStr">
        <is>
          <t>Starter plan price</t>
        </is>
      </c>
      <c r="B4" s="23" t="n">
        <v>49</v>
      </c>
      <c r="C4" s="43" t="inlineStr">
        <is>
          <t>€/month per customer</t>
        </is>
      </c>
    </row>
    <row r="5" ht="22" customHeight="1">
      <c r="A5" s="44" t="inlineStr">
        <is>
          <t>Pro plan price</t>
        </is>
      </c>
      <c r="B5" s="24" t="n">
        <v>99</v>
      </c>
      <c r="C5" s="44" t="inlineStr">
        <is>
          <t>€/month per customer</t>
        </is>
      </c>
    </row>
    <row r="6" ht="22" customHeight="1">
      <c r="A6" s="43" t="inlineStr">
        <is>
          <t>Enterprise plan price</t>
        </is>
      </c>
      <c r="B6" s="23" t="n">
        <v>199</v>
      </c>
      <c r="C6" s="43" t="inlineStr">
        <is>
          <t>€/month per customer</t>
        </is>
      </c>
    </row>
    <row r="7" ht="22" customHeight="1">
      <c r="A7" s="44" t="inlineStr">
        <is>
          <t>Monthly costs (MVP)</t>
        </is>
      </c>
      <c r="B7" s="24" t="n">
        <v>61</v>
      </c>
      <c r="C7" s="44" t="inlineStr">
        <is>
          <t>€/month (Phase 0-3 baseline)</t>
        </is>
      </c>
    </row>
    <row r="8" ht="22" customHeight="1">
      <c r="A8" s="43" t="inlineStr">
        <is>
          <t>Monthly costs (Launch)</t>
        </is>
      </c>
      <c r="B8" s="23" t="n">
        <v>138</v>
      </c>
      <c r="C8" s="43" t="inlineStr">
        <is>
          <t>€/month (Phase 8 full)</t>
        </is>
      </c>
    </row>
    <row r="9" ht="16" customHeight="1"/>
    <row r="10" ht="22" customHeight="1">
      <c r="A10" s="15" t="inlineStr">
        <is>
          <t>Break-Even Analysis</t>
        </is>
      </c>
    </row>
    <row r="11" ht="26" customHeight="1">
      <c r="A11" s="45" t="inlineStr">
        <is>
          <t>Break-even (MVP costs, Starter plan)</t>
        </is>
      </c>
      <c r="B11" s="46">
        <f>CEILING(B8/B4,1)</f>
        <v/>
      </c>
    </row>
    <row r="12" ht="26" customHeight="1">
      <c r="A12" s="45" t="inlineStr">
        <is>
          <t>Break-even (Launch costs, Starter plan)</t>
        </is>
      </c>
      <c r="B12" s="47">
        <f>CEILING(B9/B4,1)</f>
        <v/>
      </c>
    </row>
    <row r="13" ht="16" customHeight="1"/>
    <row r="14" ht="22" customHeight="1">
      <c r="A14" s="15" t="inlineStr">
        <is>
          <t>Revenue Projection</t>
        </is>
      </c>
    </row>
    <row r="15">
      <c r="A15" s="16" t="inlineStr">
        <is>
          <t>Customers</t>
        </is>
      </c>
      <c r="B15" s="16" t="inlineStr">
        <is>
          <t>Starter (€49)</t>
        </is>
      </c>
      <c r="C15" s="16" t="inlineStr">
        <is>
          <t>Pro (€99)</t>
        </is>
      </c>
      <c r="D15" s="16" t="inlineStr">
        <is>
          <t>Mixed (50/50)</t>
        </is>
      </c>
      <c r="E15" s="16" t="inlineStr">
        <is>
          <t>Profit (Mixed - Launch costs)</t>
        </is>
      </c>
    </row>
    <row r="16" ht="22" customHeight="1">
      <c r="A16" s="48" t="n">
        <v>1</v>
      </c>
      <c r="B16" s="49">
        <f>A16*B4</f>
        <v/>
      </c>
      <c r="C16" s="49">
        <f>A16*B5</f>
        <v/>
      </c>
      <c r="D16" s="49">
        <f>A16*(B4+B5)/2</f>
        <v/>
      </c>
      <c r="E16" s="50">
        <f>D16-B9</f>
        <v/>
      </c>
    </row>
    <row r="17" ht="22" customHeight="1">
      <c r="A17" s="48" t="n">
        <v>2</v>
      </c>
      <c r="B17" s="49">
        <f>A17*B4</f>
        <v/>
      </c>
      <c r="C17" s="49">
        <f>A17*B5</f>
        <v/>
      </c>
      <c r="D17" s="49">
        <f>A17*(B4+B5)/2</f>
        <v/>
      </c>
      <c r="E17" s="50">
        <f>D17-B9</f>
        <v/>
      </c>
    </row>
    <row r="18" ht="22" customHeight="1">
      <c r="A18" s="51" t="n">
        <v>3</v>
      </c>
      <c r="B18" s="52">
        <f>A18*B4</f>
        <v/>
      </c>
      <c r="C18" s="52">
        <f>A18*B5</f>
        <v/>
      </c>
      <c r="D18" s="52">
        <f>A18*(B4+B5)/2</f>
        <v/>
      </c>
      <c r="E18" s="53">
        <f>D18-B9</f>
        <v/>
      </c>
    </row>
    <row r="19" ht="22" customHeight="1">
      <c r="A19" s="51" t="n">
        <v>5</v>
      </c>
      <c r="B19" s="52">
        <f>A19*B4</f>
        <v/>
      </c>
      <c r="C19" s="52">
        <f>A19*B5</f>
        <v/>
      </c>
      <c r="D19" s="52">
        <f>A19*(B4+B5)/2</f>
        <v/>
      </c>
      <c r="E19" s="53">
        <f>D19-B9</f>
        <v/>
      </c>
    </row>
    <row r="20" ht="22" customHeight="1">
      <c r="A20" s="51" t="n">
        <v>10</v>
      </c>
      <c r="B20" s="52">
        <f>A20*B4</f>
        <v/>
      </c>
      <c r="C20" s="52">
        <f>A20*B5</f>
        <v/>
      </c>
      <c r="D20" s="52">
        <f>A20*(B4+B5)/2</f>
        <v/>
      </c>
      <c r="E20" s="53">
        <f>D20-B9</f>
        <v/>
      </c>
    </row>
    <row r="21" ht="22" customHeight="1">
      <c r="A21" s="51" t="n">
        <v>20</v>
      </c>
      <c r="B21" s="52">
        <f>A21*B4</f>
        <v/>
      </c>
      <c r="C21" s="52">
        <f>A21*B5</f>
        <v/>
      </c>
      <c r="D21" s="52">
        <f>A21*(B4+B5)/2</f>
        <v/>
      </c>
      <c r="E21" s="53">
        <f>D21-B9</f>
        <v/>
      </c>
    </row>
    <row r="22" ht="22" customHeight="1">
      <c r="A22" s="51" t="n">
        <v>50</v>
      </c>
      <c r="B22" s="52">
        <f>A22*B4</f>
        <v/>
      </c>
      <c r="C22" s="52">
        <f>A22*B5</f>
        <v/>
      </c>
      <c r="D22" s="52">
        <f>A22*(B4+B5)/2</f>
        <v/>
      </c>
      <c r="E22" s="53">
        <f>D22-B9</f>
        <v/>
      </c>
    </row>
    <row r="23" ht="22" customHeight="1">
      <c r="A23" s="51" t="n">
        <v>100</v>
      </c>
      <c r="B23" s="52">
        <f>A23*B4</f>
        <v/>
      </c>
      <c r="C23" s="52">
        <f>A23*B5</f>
        <v/>
      </c>
      <c r="D23" s="52">
        <f>A23*(B4+B5)/2</f>
        <v/>
      </c>
      <c r="E23" s="53">
        <f>D23-B9</f>
        <v/>
      </c>
    </row>
    <row r="25" ht="36" customHeight="1">
      <c r="A25" s="54" t="inlineStr">
        <is>
          <t>Note: Break-even is at 3 customers on Starter plan (MVP phase). At launch costs, 3 customers still covers it. First €49 customer = profitable at MVP stage.</t>
        </is>
      </c>
    </row>
  </sheetData>
  <mergeCells count="2">
    <mergeCell ref="A1:E1"/>
    <mergeCell ref="A25:E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4" customWidth="1" min="3" max="3"/>
    <col width="36" customWidth="1" min="4" max="4"/>
    <col width="52" customWidth="1" min="5" max="5"/>
  </cols>
  <sheetData>
    <row r="1" ht="32" customHeight="1">
      <c r="A1" s="19" t="inlineStr">
        <is>
          <t>Deferred &amp; Future Costs (not in MVP budget)</t>
        </is>
      </c>
    </row>
    <row r="2">
      <c r="A2" s="16" t="inlineStr">
        <is>
          <t>Item</t>
        </is>
      </c>
      <c r="B2" s="16" t="inlineStr">
        <is>
          <t>Estimated Cost</t>
        </is>
      </c>
      <c r="C2" s="16" t="inlineStr">
        <is>
          <t>Frequency</t>
        </is>
      </c>
      <c r="D2" s="16" t="inlineStr">
        <is>
          <t>Trigger</t>
        </is>
      </c>
      <c r="E2" s="16" t="inlineStr">
        <is>
          <t>Notes</t>
        </is>
      </c>
    </row>
    <row r="3" ht="36" customHeight="1">
      <c r="A3" s="32" t="inlineStr">
        <is>
          <t>Self-hosted Supabase (EU VPS)</t>
        </is>
      </c>
      <c r="B3" s="32" t="inlineStr">
        <is>
          <t>€20-50/mo</t>
        </is>
      </c>
      <c r="C3" s="32" t="inlineStr">
        <is>
          <t>Monthly</t>
        </is>
      </c>
      <c r="D3" s="32" t="inlineStr">
        <is>
          <t>Enterprise client requires on-premise</t>
        </is>
      </c>
      <c r="E3" s="32" t="inlineStr">
        <is>
          <t>Supabase is open source — self-host entire stack on Hetzner/OVH EU VPS.</t>
        </is>
      </c>
    </row>
    <row r="4" ht="36" customHeight="1">
      <c r="A4" s="18" t="inlineStr">
        <is>
          <t>MinIO (document storage)</t>
        </is>
      </c>
      <c r="B4" s="18" t="inlineStr">
        <is>
          <t>€10-30/mo</t>
        </is>
      </c>
      <c r="C4" s="18" t="inlineStr">
        <is>
          <t>Monthly</t>
        </is>
      </c>
      <c r="D4" s="18" t="inlineStr">
        <is>
          <t>On-premise contract or DPA requirement</t>
        </is>
      </c>
      <c r="E4" s="18" t="inlineStr">
        <is>
          <t>S3-compatible. Same path structure. Zero code changes.</t>
        </is>
      </c>
    </row>
    <row r="5" ht="36" customHeight="1">
      <c r="A5" s="32" t="inlineStr">
        <is>
          <t>itsme® authentication</t>
        </is>
      </c>
      <c r="B5" s="32" t="inlineStr">
        <is>
          <t>€0.10-0.30/tx</t>
        </is>
      </c>
      <c r="C5" s="32" t="inlineStr">
        <is>
          <t>Per login</t>
        </is>
      </c>
      <c r="D5" s="32" t="inlineStr">
        <is>
          <t>Enterprise/government customer request</t>
        </is>
      </c>
      <c r="E5" s="32" t="inlineStr">
        <is>
          <t>OIDC — plugs into Supabase as custom OAuth. Contact itsme.be/business.</t>
        </is>
      </c>
    </row>
    <row r="6" ht="36" customHeight="1">
      <c r="A6" s="18" t="inlineStr">
        <is>
          <t>External pentest</t>
        </is>
      </c>
      <c r="B6" s="18" t="inlineStr">
        <is>
          <t>€1,500-3,000</t>
        </is>
      </c>
      <c r="C6" s="18" t="inlineStr">
        <is>
          <t>One-time</t>
        </is>
      </c>
      <c r="D6" s="18" t="inlineStr">
        <is>
          <t>First enterprise contract or €50k ARR</t>
        </is>
      </c>
      <c r="E6" s="18" t="inlineStr">
        <is>
          <t>OWASP Top 10 + tenant isolation + file upload attack vectors.</t>
        </is>
      </c>
    </row>
    <row r="7" ht="36" customHeight="1">
      <c r="A7" s="32" t="inlineStr">
        <is>
          <t>LaunchDarkly (feature flags)</t>
        </is>
      </c>
      <c r="B7" s="32" t="inlineStr">
        <is>
          <t>€0-350/mo</t>
        </is>
      </c>
      <c r="C7" s="32" t="inlineStr">
        <is>
          <t>Monthly</t>
        </is>
      </c>
      <c r="D7" s="32" t="inlineStr">
        <is>
          <t>Team grows beyond 3 devs</t>
        </is>
      </c>
      <c r="E7" s="32" t="inlineStr">
        <is>
          <t>Current plan: feature_flags Supabase table (free). LaunchDarkly when ops complexity grows.</t>
        </is>
      </c>
    </row>
    <row r="8" ht="36" customHeight="1">
      <c r="A8" s="18" t="inlineStr">
        <is>
          <t>Read replica (Supabase)</t>
        </is>
      </c>
      <c r="B8" s="18" t="inlineStr">
        <is>
          <t>~€25/mo extra</t>
        </is>
      </c>
      <c r="C8" s="18" t="inlineStr">
        <is>
          <t>Monthly</t>
        </is>
      </c>
      <c r="D8" s="18" t="inlineStr">
        <is>
          <t>DB query latency &gt; 200ms on list endpoints</t>
        </is>
      </c>
      <c r="E8" s="18" t="inlineStr">
        <is>
          <t>Supabase one-click. Route reads to replica, writes to primary.</t>
        </is>
      </c>
    </row>
    <row r="9" ht="36" customHeight="1">
      <c r="A9" s="32" t="inlineStr">
        <is>
          <t>Kubernetes / EKS</t>
        </is>
      </c>
      <c r="B9" s="32" t="inlineStr">
        <is>
          <t>€200+/mo</t>
        </is>
      </c>
      <c r="C9" s="32" t="inlineStr">
        <is>
          <t>Monthly</t>
        </is>
      </c>
      <c r="D9" s="32" t="inlineStr">
        <is>
          <t>Railway costs &gt; €500/mo or GPU workloads needed</t>
        </is>
      </c>
      <c r="E9" s="32" t="inlineStr">
        <is>
          <t>Hono is container-native — zero code changes to migrate.</t>
        </is>
      </c>
    </row>
    <row r="10" ht="36" customHeight="1">
      <c r="A10" s="18" t="inlineStr">
        <is>
          <t>SOC 2 / ISO 27001 audit</t>
        </is>
      </c>
      <c r="B10" s="18" t="inlineStr">
        <is>
          <t>€5,000-20,000</t>
        </is>
      </c>
      <c r="C10" s="18" t="inlineStr">
        <is>
          <t>One-time</t>
        </is>
      </c>
      <c r="D10" s="18" t="inlineStr">
        <is>
          <t>Enterprise procurement checklist</t>
        </is>
      </c>
      <c r="E10" s="18" t="inlineStr">
        <is>
          <t>Architecture already designed to pass. AWS accounts needed for SOC 2.</t>
        </is>
      </c>
    </row>
    <row r="11" ht="36" customHeight="1">
      <c r="A11" s="32" t="inlineStr">
        <is>
          <t>Field-level encryption (KMS)</t>
        </is>
      </c>
      <c r="B11" s="32" t="inlineStr">
        <is>
          <t>€50-100/mo</t>
        </is>
      </c>
      <c r="C11" s="32" t="inlineStr">
        <is>
          <t>Monthly</t>
        </is>
      </c>
      <c r="D11" s="32" t="inlineStr">
        <is>
          <t>Enterprise DPA requirement for IBAN/national IDs</t>
        </is>
      </c>
      <c r="E11" s="32" t="inlineStr">
        <is>
          <t>packages/crypto + KMS-backed envelope encryption. Additive change.</t>
        </is>
      </c>
    </row>
    <row r="12" ht="36" customHeight="1">
      <c r="A12" s="18" t="inlineStr">
        <is>
          <t>Apple Developer (mobile)</t>
        </is>
      </c>
      <c r="B12" s="18" t="inlineStr">
        <is>
          <t>€99/yr</t>
        </is>
      </c>
      <c r="C12" s="18" t="inlineStr">
        <is>
          <t>Annual</t>
        </is>
      </c>
      <c r="D12" s="18" t="inlineStr">
        <is>
          <t>Phase 7 — mobile app</t>
        </is>
      </c>
      <c r="E12" s="18" t="inlineStr">
        <is>
          <t>Required for App Store. Already in One-Time budget.</t>
        </is>
      </c>
    </row>
    <row r="13" ht="36" customHeight="1">
      <c r="A13" s="32" t="inlineStr">
        <is>
          <t>Expo EAS Production build</t>
        </is>
      </c>
      <c r="B13" s="32" t="inlineStr">
        <is>
          <t>$99/mo</t>
        </is>
      </c>
      <c r="C13" s="32" t="inlineStr">
        <is>
          <t>Monthly</t>
        </is>
      </c>
      <c r="D13" s="32" t="inlineStr">
        <is>
          <t>Mobile app CI/CD at scale</t>
        </is>
      </c>
      <c r="E13" s="32" t="inlineStr">
        <is>
          <t>Free tier: 30 builds/mo. Upgrade when release cadence increases.</t>
        </is>
      </c>
    </row>
    <row r="14" ht="36" customHeight="1">
      <c r="A14" s="18" t="inlineStr">
        <is>
          <t>Multi-region (Vercel + Railway)</t>
        </is>
      </c>
      <c r="B14" s="18" t="inlineStr">
        <is>
          <t>€50-100/mo</t>
        </is>
      </c>
      <c r="C14" s="18" t="inlineStr">
        <is>
          <t>Monthly</t>
        </is>
      </c>
      <c r="D14" s="18" t="inlineStr">
        <is>
          <t>Customers outside Belgium require low latency</t>
        </is>
      </c>
      <c r="E14" s="18" t="inlineStr">
        <is>
          <t>Vercel edge already global. Railway: add EU + US regions.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2026-05-27T18:33:46Z</dcterms:created>
  <dcterms:modified xsi:type="dcterms:W3CDTF">2026-05-27T18:33:46Z</dcterms:modified>
</cp:coreProperties>
</file>